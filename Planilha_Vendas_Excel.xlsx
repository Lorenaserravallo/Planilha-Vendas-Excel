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/Intermediario/"/>
    </mc:Choice>
  </mc:AlternateContent>
  <xr:revisionPtr revIDLastSave="35" documentId="8_{DCDEE397-90CA-404C-813E-1A2C5CA34E41}" xr6:coauthVersionLast="47" xr6:coauthVersionMax="47" xr10:uidLastSave="{A7402A98-8B59-4869-B527-7A1477E7052E}"/>
  <bookViews>
    <workbookView xWindow="-110" yWindow="-110" windowWidth="19420" windowHeight="10300" xr2:uid="{82C45518-F12B-40C3-A863-131EE542FBE4}"/>
  </bookViews>
  <sheets>
    <sheet name="Pedidos" sheetId="1" r:id="rId1"/>
    <sheet name="Produtos" sheetId="2" r:id="rId2"/>
    <sheet name="Vendedor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K2" i="1"/>
  <c r="L2" i="1" s="1"/>
  <c r="K3" i="1"/>
  <c r="L3" i="1" s="1"/>
  <c r="K4" i="1"/>
  <c r="L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J2" i="1"/>
  <c r="J3" i="1"/>
  <c r="J4" i="1"/>
  <c r="J5" i="1"/>
  <c r="J6" i="1"/>
  <c r="I3" i="1"/>
  <c r="I2" i="1"/>
  <c r="I4" i="1"/>
  <c r="I5" i="1"/>
  <c r="I6" i="1"/>
  <c r="H2" i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D6" i="3"/>
  <c r="D5" i="3"/>
  <c r="D4" i="3"/>
  <c r="D3" i="3"/>
  <c r="D2" i="3"/>
  <c r="M2" i="1" l="1"/>
  <c r="N2" i="1"/>
  <c r="M3" i="1"/>
  <c r="N3" i="1"/>
  <c r="M4" i="1"/>
  <c r="N4" i="1"/>
</calcChain>
</file>

<file path=xl/sharedStrings.xml><?xml version="1.0" encoding="utf-8"?>
<sst xmlns="http://schemas.openxmlformats.org/spreadsheetml/2006/main" count="91" uniqueCount="70">
  <si>
    <t xml:space="preserve">ID_Pedido </t>
  </si>
  <si>
    <t xml:space="preserve"> Data </t>
  </si>
  <si>
    <t xml:space="preserve"> ID_Produto </t>
  </si>
  <si>
    <t xml:space="preserve"> ID_Vendedor </t>
  </si>
  <si>
    <t xml:space="preserve"> Quantidade </t>
  </si>
  <si>
    <t xml:space="preserve"> Desconto</t>
  </si>
  <si>
    <t xml:space="preserve"> 01/02/2024 </t>
  </si>
  <si>
    <t xml:space="preserve"> P01 </t>
  </si>
  <si>
    <t xml:space="preserve"> V01 </t>
  </si>
  <si>
    <t xml:space="preserve"> P03 </t>
  </si>
  <si>
    <t xml:space="preserve"> V02 </t>
  </si>
  <si>
    <t xml:space="preserve"> 02/02/2024 </t>
  </si>
  <si>
    <t xml:space="preserve"> P04 </t>
  </si>
  <si>
    <t xml:space="preserve"> V03 </t>
  </si>
  <si>
    <t xml:space="preserve"> P02 </t>
  </si>
  <si>
    <t xml:space="preserve"> V04 </t>
  </si>
  <si>
    <t xml:space="preserve"> 03/02/2024 </t>
  </si>
  <si>
    <t xml:space="preserve"> P08 </t>
  </si>
  <si>
    <t xml:space="preserve"> V05 </t>
  </si>
  <si>
    <t xml:space="preserve"> P07 </t>
  </si>
  <si>
    <t xml:space="preserve"> 04/02/2024 </t>
  </si>
  <si>
    <t xml:space="preserve"> P06 </t>
  </si>
  <si>
    <t xml:space="preserve"> P09 </t>
  </si>
  <si>
    <t xml:space="preserve"> 05/02/2024 </t>
  </si>
  <si>
    <t xml:space="preserve"> P05 </t>
  </si>
  <si>
    <t xml:space="preserve"> P10 </t>
  </si>
  <si>
    <t>ID_Produto</t>
  </si>
  <si>
    <t>Produto</t>
  </si>
  <si>
    <t>Preco</t>
  </si>
  <si>
    <t>P01</t>
  </si>
  <si>
    <t>Teclado</t>
  </si>
  <si>
    <t>P02</t>
  </si>
  <si>
    <t>Mouse</t>
  </si>
  <si>
    <t>P03</t>
  </si>
  <si>
    <t>Monitor</t>
  </si>
  <si>
    <t>P04</t>
  </si>
  <si>
    <t>Notebook</t>
  </si>
  <si>
    <t>P05</t>
  </si>
  <si>
    <t>Headset</t>
  </si>
  <si>
    <t>P06</t>
  </si>
  <si>
    <t>Webcam</t>
  </si>
  <si>
    <t>P07</t>
  </si>
  <si>
    <t>Cadeira</t>
  </si>
  <si>
    <t>P08</t>
  </si>
  <si>
    <t>Mesa</t>
  </si>
  <si>
    <t>P09</t>
  </si>
  <si>
    <t>HD Externo</t>
  </si>
  <si>
    <t>P10</t>
  </si>
  <si>
    <t>Pen Drive</t>
  </si>
  <si>
    <t>V01</t>
  </si>
  <si>
    <t>Ana</t>
  </si>
  <si>
    <t>V02</t>
  </si>
  <si>
    <t>Bruno</t>
  </si>
  <si>
    <t>V03</t>
  </si>
  <si>
    <t>Carlos</t>
  </si>
  <si>
    <t>V04</t>
  </si>
  <si>
    <t>Daniela</t>
  </si>
  <si>
    <t>V05</t>
  </si>
  <si>
    <t>Eduardo</t>
  </si>
  <si>
    <t>ID_Vendedor</t>
  </si>
  <si>
    <t>Vendedor</t>
  </si>
  <si>
    <t>Meta</t>
  </si>
  <si>
    <t xml:space="preserve">Status </t>
  </si>
  <si>
    <t>Preço</t>
  </si>
  <si>
    <t>Nome produto</t>
  </si>
  <si>
    <t>-</t>
  </si>
  <si>
    <t>Valor Bruto</t>
  </si>
  <si>
    <t>Valor Final</t>
  </si>
  <si>
    <t>Classificação de pedidos</t>
  </si>
  <si>
    <t>Venda Estratégica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</si>
</sst>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2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61d8b2cca1ae9f/Documentos/Lorena/An&#225;lise%20de%20Dados/Excel/Intermediario/Exercicios_dia_03.xlsx" TargetMode="External"/><Relationship Id="rId1" Type="http://schemas.openxmlformats.org/officeDocument/2006/relationships/externalLinkPath" Target="Exercicios_dia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  <sheetName val="Produtos"/>
      <sheetName val="Vendedores"/>
      <sheetName val="Exercicios_dia_03"/>
    </sheetNames>
    <sheetDataSet>
      <sheetData sheetId="0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07044-A115-4EBC-A4A4-F9BE29C36FA0}" name="Tabela1" displayName="Tabela1" ref="A1:N11" totalsRowShown="0" dataDxfId="28">
  <autoFilter ref="A1:N11" xr:uid="{7F807044-A115-4EBC-A4A4-F9BE29C36FA0}"/>
  <tableColumns count="14">
    <tableColumn id="1" xr3:uid="{95208404-255C-447A-89ED-5F9DEA70AD69}" name="ID_Pedido " dataDxfId="21"/>
    <tableColumn id="2" xr3:uid="{ED928EC3-0F3C-41E0-92F8-3AAE25E64657}" name=" Data " dataDxfId="20"/>
    <tableColumn id="3" xr3:uid="{7CF541AC-25A9-43DE-8516-ED995FAF7C23}" name=" ID_Produto " dataDxfId="19"/>
    <tableColumn id="4" xr3:uid="{1EC72E8A-FC28-4E52-B54F-4EF39254E205}" name=" ID_Vendedor " dataDxfId="18"/>
    <tableColumn id="5" xr3:uid="{161AAC61-414A-4C50-9002-DCFCCCED39AE}" name=" Quantidade " dataDxfId="17"/>
    <tableColumn id="6" xr3:uid="{0DE4D4EE-DF23-4F41-B454-9AB9B05F0BE7}" name=" Desconto" dataDxfId="16"/>
    <tableColumn id="7" xr3:uid="{67A2067A-8657-4F6C-A9EA-56BC8E296C59}" name="Nome produto" dataDxfId="15">
      <calculatedColumnFormula>VLOOKUP(Tabela2[[#This Row],[ID_Produto]],Produtos!A:B,2,0)</calculatedColumnFormula>
    </tableColumn>
    <tableColumn id="8" xr3:uid="{695AA500-864F-4AAC-A72C-BC90455A90EB}" name="Preço" dataDxfId="14">
      <calculatedColumnFormula>VLOOKUP(Tabela2[[#This Row],[ID_Produto]],Produtos!A:C,3,0)</calculatedColumnFormula>
    </tableColumn>
    <tableColumn id="9" xr3:uid="{8578B22D-9ED7-4487-B982-9B51434BA026}" name="Vendedor" dataDxfId="13">
      <calculatedColumnFormula>VLOOKUP(Tabela3[[#This Row],[ID_Vendedor]],Vendedores!A:B,2,0)</calculatedColumnFormula>
    </tableColumn>
    <tableColumn id="10" xr3:uid="{3698CD81-603D-409C-B5EA-B727D2F05045}" name="Meta" dataDxfId="12">
      <calculatedColumnFormula>VLOOKUP(Tabela3[[#This Row],[ID_Vendedor]],Vendedores!A:C,3,0)</calculatedColumnFormula>
    </tableColumn>
    <tableColumn id="11" xr3:uid="{DC70C852-0B12-4612-A1C5-52DBBE49AE5D}" name="Valor Bruto" dataDxfId="11">
      <calculatedColumnFormula>Tabela1[[#This Row],[ Quantidade ]]*Tabela1[[#This Row],[Preço]]</calculatedColumnFormula>
    </tableColumn>
    <tableColumn id="12" xr3:uid="{0B181E6B-4462-4658-8DF2-A9E801D2F4AB}" name="Valor Final" dataDxfId="10">
      <calculatedColumnFormula>Tabela1[[#This Row],[Valor Bruto]]-Tabela1[[#This Row],[ Desconto]]</calculatedColumnFormula>
    </tableColumn>
    <tableColumn id="13" xr3:uid="{A5DE0285-74ED-4A52-A2C9-2A4D64991260}" name="Classificação de pedidos" dataDxfId="9">
      <calculatedColumnFormula>IF(Tabela1[[#This Row],[Valor Final]]&gt;=5000,"Mega Venda",IF(Tabela1[[#This Row],[Valor Final]]&gt;=2000,"Grande",IF(Tabela1[[#This Row],[Valor Final]]&gt;=500,"Média","Pequena")))</calculatedColumnFormula>
    </tableColumn>
    <tableColumn id="15" xr3:uid="{5A7CEB8E-010B-46E9-A92F-EAE920E336BD}" name="Venda Estratégica" dataDxfId="8">
      <calculatedColumnFormula>IF(AND(OR(Tabela1[[#This Row],[Nome produto]]="Notebook",Tabela1[[#This Row],[Nome produto]]="Monitor"),Tabela1[[#This Row],[Valor Final]]&gt;3000),"SIM","NÃO")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2D71C-0121-4C48-A840-AFBFB47B9B6A}" name="Tabela2" displayName="Tabela2" ref="A1:C11" totalsRowShown="0" headerRowDxfId="1" dataDxfId="27" headerRowBorderDxfId="6" tableBorderDxfId="7" totalsRowBorderDxfId="5">
  <autoFilter ref="A1:C11" xr:uid="{D672D71C-0121-4C48-A840-AFBFB47B9B6A}"/>
  <tableColumns count="3">
    <tableColumn id="1" xr3:uid="{069F6108-D76A-40CE-A8D3-D450B88FDCEE}" name="ID_Produto" dataDxfId="4"/>
    <tableColumn id="2" xr3:uid="{7C48798C-CB53-4A33-AF44-10BA732F2CC5}" name="Produto" dataDxfId="3"/>
    <tableColumn id="3" xr3:uid="{9DC78CE5-A3C4-4CED-9A42-46D6AEF1FABA}" name="Preco" dataDxfId="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6B89A5-AB84-4A4A-B857-5D154B2078D8}" name="Tabela3" displayName="Tabela3" ref="A1:D6" totalsRowShown="0" headerRowDxfId="0" dataDxfId="26">
  <autoFilter ref="A1:D6" xr:uid="{596B89A5-AB84-4A4A-B857-5D154B2078D8}"/>
  <tableColumns count="4">
    <tableColumn id="1" xr3:uid="{974727EE-9B97-4B6B-BA78-599B4187D8A2}" name="ID_Vendedor" dataDxfId="25"/>
    <tableColumn id="2" xr3:uid="{7FFA47D1-597B-4C99-9F6D-8F5FEAFAAEBF}" name="Vendedor" dataDxfId="24"/>
    <tableColumn id="3" xr3:uid="{F3E96184-0D0F-4201-80E8-82319C6C8504}" name="Meta" dataDxfId="23"/>
    <tableColumn id="4" xr3:uid="{F5EAC21F-A821-4475-AF8A-27229A8E0928}" name="Status " dataDxfId="22">
      <calculatedColumnFormula>IF([1]!Tabela1[[#This Row],[Valor da venda]]&gt;=Tabela3[[#This Row],[Meta]],"Meta Atingida","Abaixo da Meta")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9994-C45F-45C4-88F5-9DEB508B7F55}">
  <dimension ref="A1:Q50"/>
  <sheetViews>
    <sheetView showGridLines="0" tabSelected="1" topLeftCell="E1" workbookViewId="0">
      <selection activeCell="J17" sqref="J17"/>
    </sheetView>
  </sheetViews>
  <sheetFormatPr defaultRowHeight="14.5" x14ac:dyDescent="0.35"/>
  <cols>
    <col min="1" max="1" width="11.26953125" customWidth="1"/>
    <col min="2" max="2" width="10.81640625" bestFit="1" customWidth="1"/>
    <col min="3" max="3" width="12.453125" customWidth="1"/>
    <col min="4" max="4" width="13.81640625" customWidth="1"/>
    <col min="5" max="5" width="13.6328125" bestFit="1" customWidth="1"/>
    <col min="6" max="6" width="11.36328125" bestFit="1" customWidth="1"/>
    <col min="7" max="7" width="14.90625" bestFit="1" customWidth="1"/>
    <col min="8" max="8" width="10.36328125" bestFit="1" customWidth="1"/>
    <col min="9" max="9" width="11.08984375" bestFit="1" customWidth="1"/>
    <col min="10" max="10" width="10.36328125" bestFit="1" customWidth="1"/>
    <col min="11" max="11" width="12.1796875" bestFit="1" customWidth="1"/>
    <col min="12" max="12" width="11.90625" bestFit="1" customWidth="1"/>
    <col min="13" max="13" width="24.26953125" bestFit="1" customWidth="1"/>
    <col min="14" max="14" width="18.08984375" bestFit="1" customWidth="1"/>
  </cols>
  <sheetData>
    <row r="1" spans="1:17" ht="18" customHeight="1" x14ac:dyDescent="0.3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s="7" t="s">
        <v>64</v>
      </c>
      <c r="H1" s="7" t="s">
        <v>63</v>
      </c>
      <c r="I1" s="7" t="s">
        <v>60</v>
      </c>
      <c r="J1" s="7" t="s">
        <v>61</v>
      </c>
      <c r="K1" s="7" t="s">
        <v>66</v>
      </c>
      <c r="L1" s="7" t="s">
        <v>67</v>
      </c>
      <c r="M1" s="7" t="s">
        <v>68</v>
      </c>
      <c r="N1" s="7" t="s">
        <v>69</v>
      </c>
    </row>
    <row r="2" spans="1:17" x14ac:dyDescent="0.35">
      <c r="A2" s="8">
        <v>1</v>
      </c>
      <c r="B2" s="8" t="s">
        <v>6</v>
      </c>
      <c r="C2" s="8" t="s">
        <v>7</v>
      </c>
      <c r="D2" s="8" t="s">
        <v>8</v>
      </c>
      <c r="E2" s="8">
        <v>3</v>
      </c>
      <c r="F2" s="9">
        <v>0</v>
      </c>
      <c r="G2" s="8" t="str">
        <f>VLOOKUP(Tabela2[[#This Row],[ID_Produto]],Produtos!A:B,2,0)</f>
        <v>Teclado</v>
      </c>
      <c r="H2" s="10">
        <f>VLOOKUP(Tabela2[[#This Row],[ID_Produto]],Produtos!A:C,3,0)</f>
        <v>120</v>
      </c>
      <c r="I2" s="8" t="str">
        <f>VLOOKUP(Tabela3[[#This Row],[ID_Vendedor]],Vendedores!A:B,2,0)</f>
        <v>Ana</v>
      </c>
      <c r="J2" s="10">
        <f>VLOOKUP(Tabela3[[#This Row],[ID_Vendedor]],Vendedores!A:C,3,0)</f>
        <v>5000</v>
      </c>
      <c r="K2" s="10">
        <f>Tabela1[[#This Row],[ Quantidade ]]*Tabela1[[#This Row],[Preço]]</f>
        <v>360</v>
      </c>
      <c r="L2" s="10">
        <f>Tabela1[[#This Row],[Valor Bruto]]-Tabela1[[#This Row],[ Desconto]]</f>
        <v>360</v>
      </c>
      <c r="M2" s="10" t="str">
        <f>IF(Tabela1[[#This Row],[Valor Final]]&gt;=5000,"Mega Venda",IF(Tabela1[[#This Row],[Valor Final]]&gt;=2000,"Grande",IF(Tabela1[[#This Row],[Valor Final]]&gt;=500,"Média","Pequena")))</f>
        <v>Pequena</v>
      </c>
      <c r="N2" s="11" t="str">
        <f>IF(AND(OR(Tabela1[[#This Row],[Nome produto]]="Notebook",Tabela1[[#This Row],[Nome produto]]="Monitor"),Tabela1[[#This Row],[Valor Final]]&gt;3000),"SIM","NÃO")</f>
        <v>NÃO</v>
      </c>
    </row>
    <row r="3" spans="1:17" x14ac:dyDescent="0.35">
      <c r="A3" s="8">
        <v>2</v>
      </c>
      <c r="B3" s="8" t="s">
        <v>6</v>
      </c>
      <c r="C3" s="8" t="s">
        <v>9</v>
      </c>
      <c r="D3" s="8" t="s">
        <v>10</v>
      </c>
      <c r="E3" s="8">
        <v>5</v>
      </c>
      <c r="F3" s="9">
        <v>0.1</v>
      </c>
      <c r="G3" s="8" t="str">
        <f>VLOOKUP(Tabela2[[#This Row],[ID_Produto]],Produtos!A:B,2,0)</f>
        <v>Mouse</v>
      </c>
      <c r="H3" s="10">
        <f>VLOOKUP(Tabela2[[#This Row],[ID_Produto]],Produtos!A:C,3,0)</f>
        <v>60</v>
      </c>
      <c r="I3" s="8" t="str">
        <f>VLOOKUP(Tabela3[[#This Row],[ID_Vendedor]],Vendedores!A:B,2,0)</f>
        <v>Bruno</v>
      </c>
      <c r="J3" s="10">
        <f>VLOOKUP(Tabela3[[#This Row],[ID_Vendedor]],Vendedores!A:C,3,0)</f>
        <v>6000</v>
      </c>
      <c r="K3" s="10">
        <f>Tabela1[[#This Row],[ Quantidade ]]*Tabela1[[#This Row],[Preço]]</f>
        <v>300</v>
      </c>
      <c r="L3" s="10">
        <f>Tabela1[[#This Row],[Valor Bruto]]-Tabela1[[#This Row],[ Desconto]]</f>
        <v>299.89999999999998</v>
      </c>
      <c r="M3" s="10" t="str">
        <f>IF(Tabela1[[#This Row],[Valor Final]]&gt;=5000,"Mega Venda",IF(Tabela1[[#This Row],[Valor Final]]&gt;=2000,"Grande",IF(Tabela1[[#This Row],[Valor Final]]&gt;=500,"Média","Pequena")))</f>
        <v>Pequena</v>
      </c>
      <c r="N3" s="11" t="str">
        <f>IF(AND(OR(Tabela1[[#This Row],[Nome produto]]="Notebook",Tabela1[[#This Row],[Nome produto]]="Monitor"),Tabela1[[#This Row],[Valor Final]]&gt;3000),"SIM","NÃO")</f>
        <v>NÃO</v>
      </c>
    </row>
    <row r="4" spans="1:17" x14ac:dyDescent="0.35">
      <c r="A4" s="8">
        <v>3</v>
      </c>
      <c r="B4" s="8" t="s">
        <v>11</v>
      </c>
      <c r="C4" s="8" t="s">
        <v>12</v>
      </c>
      <c r="D4" s="8" t="s">
        <v>13</v>
      </c>
      <c r="E4" s="8">
        <v>2</v>
      </c>
      <c r="F4" s="9">
        <v>0.05</v>
      </c>
      <c r="G4" s="8" t="str">
        <f>VLOOKUP(Tabela2[[#This Row],[ID_Produto]],Produtos!A:B,2,0)</f>
        <v>Monitor</v>
      </c>
      <c r="H4" s="10">
        <f>VLOOKUP(Tabela2[[#This Row],[ID_Produto]],Produtos!A:C,3,0)</f>
        <v>900</v>
      </c>
      <c r="I4" s="8" t="str">
        <f>VLOOKUP(Tabela3[[#This Row],[ID_Vendedor]],Vendedores!A:B,2,0)</f>
        <v>Carlos</v>
      </c>
      <c r="J4" s="10">
        <f>VLOOKUP(Tabela3[[#This Row],[ID_Vendedor]],Vendedores!A:C,3,0)</f>
        <v>4500</v>
      </c>
      <c r="K4" s="10">
        <f>Tabela1[[#This Row],[ Quantidade ]]*Tabela1[[#This Row],[Preço]]</f>
        <v>1800</v>
      </c>
      <c r="L4" s="10">
        <f>Tabela1[[#This Row],[Valor Bruto]]-Tabela1[[#This Row],[ Desconto]]</f>
        <v>1799.95</v>
      </c>
      <c r="M4" s="10" t="str">
        <f>IF(Tabela1[[#This Row],[Valor Final]]&gt;=5000,"Mega Venda",IF(Tabela1[[#This Row],[Valor Final]]&gt;=2000,"Grande",IF(Tabela1[[#This Row],[Valor Final]]&gt;=500,"Média","Pequena")))</f>
        <v>Média</v>
      </c>
      <c r="N4" s="11" t="str">
        <f>IF(AND(OR(Tabela1[[#This Row],[Nome produto]]="Notebook",Tabela1[[#This Row],[Nome produto]]="Monitor"),Tabela1[[#This Row],[Valor Final]]&gt;3000),"SIM","NÃO")</f>
        <v>NÃO</v>
      </c>
    </row>
    <row r="5" spans="1:17" x14ac:dyDescent="0.35">
      <c r="A5" s="8">
        <v>4</v>
      </c>
      <c r="B5" s="8" t="s">
        <v>11</v>
      </c>
      <c r="C5" s="8" t="s">
        <v>14</v>
      </c>
      <c r="D5" s="8" t="s">
        <v>15</v>
      </c>
      <c r="E5" s="8">
        <v>10</v>
      </c>
      <c r="F5" s="9">
        <v>0</v>
      </c>
      <c r="G5" s="8" t="str">
        <f>VLOOKUP(Tabela2[[#This Row],[ID_Produto]],Produtos!A:B,2,0)</f>
        <v>Notebook</v>
      </c>
      <c r="H5" s="10">
        <f>VLOOKUP(Tabela2[[#This Row],[ID_Produto]],Produtos!A:C,3,0)</f>
        <v>3500</v>
      </c>
      <c r="I5" s="8" t="str">
        <f>VLOOKUP(Tabela3[[#This Row],[ID_Vendedor]],Vendedores!A:B,2,0)</f>
        <v>Daniela</v>
      </c>
      <c r="J5" s="10">
        <f>VLOOKUP(Tabela3[[#This Row],[ID_Vendedor]],Vendedores!A:C,3,0)</f>
        <v>7000</v>
      </c>
      <c r="K5" s="10">
        <f>Tabela1[[#This Row],[ Quantidade ]]*Tabela1[[#This Row],[Preço]]</f>
        <v>35000</v>
      </c>
      <c r="L5" s="10">
        <f>Tabela1[[#This Row],[Valor Bruto]]-Tabela1[[#This Row],[ Desconto]]</f>
        <v>35000</v>
      </c>
      <c r="M5" s="10" t="str">
        <f>IF(Tabela1[[#This Row],[Valor Final]]&gt;=5000,"Mega Venda",IF(Tabela1[[#This Row],[Valor Final]]&gt;=2000,"Grande",IF(Tabela1[[#This Row],[Valor Final]]&gt;=500,"Média","Pequena")))</f>
        <v>Mega Venda</v>
      </c>
      <c r="N5" s="11" t="str">
        <f>IF(AND(OR(Tabela1[[#This Row],[Nome produto]]="Notebook",Tabela1[[#This Row],[Nome produto]]="Monitor"),Tabela1[[#This Row],[Valor Final]]&gt;3000),"SIM","NÃO")</f>
        <v>SIM</v>
      </c>
    </row>
    <row r="6" spans="1:17" x14ac:dyDescent="0.35">
      <c r="A6" s="8">
        <v>5</v>
      </c>
      <c r="B6" s="8" t="s">
        <v>16</v>
      </c>
      <c r="C6" s="8" t="s">
        <v>17</v>
      </c>
      <c r="D6" s="8" t="s">
        <v>18</v>
      </c>
      <c r="E6" s="8">
        <v>6</v>
      </c>
      <c r="F6" s="9">
        <v>0.15</v>
      </c>
      <c r="G6" s="8" t="str">
        <f>VLOOKUP(Tabela2[[#This Row],[ID_Produto]],Produtos!A:B,2,0)</f>
        <v>Headset</v>
      </c>
      <c r="H6" s="10">
        <f>VLOOKUP(Tabela2[[#This Row],[ID_Produto]],Produtos!A:C,3,0)</f>
        <v>250</v>
      </c>
      <c r="I6" s="8" t="str">
        <f>VLOOKUP(Tabela3[[#This Row],[ID_Vendedor]],Vendedores!A:B,2,0)</f>
        <v>Eduardo</v>
      </c>
      <c r="J6" s="10">
        <f>VLOOKUP(Tabela3[[#This Row],[ID_Vendedor]],Vendedores!A:C,3,0)</f>
        <v>5500</v>
      </c>
      <c r="K6" s="10">
        <f>Tabela1[[#This Row],[ Quantidade ]]*Tabela1[[#This Row],[Preço]]</f>
        <v>1500</v>
      </c>
      <c r="L6" s="10">
        <f>Tabela1[[#This Row],[Valor Bruto]]-Tabela1[[#This Row],[ Desconto]]</f>
        <v>1499.85</v>
      </c>
      <c r="M6" s="10" t="str">
        <f>IF(Tabela1[[#This Row],[Valor Final]]&gt;=5000,"Mega Venda",IF(Tabela1[[#This Row],[Valor Final]]&gt;=2000,"Grande",IF(Tabela1[[#This Row],[Valor Final]]&gt;=500,"Média","Pequena")))</f>
        <v>Média</v>
      </c>
      <c r="N6" s="11" t="str">
        <f>IF(AND(OR(Tabela1[[#This Row],[Nome produto]]="Notebook",Tabela1[[#This Row],[Nome produto]]="Monitor"),Tabela1[[#This Row],[Valor Final]]&gt;3000),"SIM","NÃO")</f>
        <v>NÃO</v>
      </c>
      <c r="Q6" s="4"/>
    </row>
    <row r="7" spans="1:17" x14ac:dyDescent="0.35">
      <c r="A7" s="8">
        <v>6</v>
      </c>
      <c r="B7" s="8" t="s">
        <v>16</v>
      </c>
      <c r="C7" s="8" t="s">
        <v>19</v>
      </c>
      <c r="D7" s="8" t="s">
        <v>8</v>
      </c>
      <c r="E7" s="8">
        <v>1</v>
      </c>
      <c r="F7" s="9">
        <v>0</v>
      </c>
      <c r="G7" s="8" t="str">
        <f>VLOOKUP(Tabela2[[#This Row],[ID_Produto]],Produtos!A:B,2,0)</f>
        <v>Webcam</v>
      </c>
      <c r="H7" s="10">
        <f>VLOOKUP(Tabela2[[#This Row],[ID_Produto]],Produtos!A:C,3,0)</f>
        <v>180</v>
      </c>
      <c r="I7" s="8" t="s">
        <v>65</v>
      </c>
      <c r="J7" s="8" t="s">
        <v>65</v>
      </c>
      <c r="K7" s="10">
        <f>Tabela1[[#This Row],[ Quantidade ]]*Tabela1[[#This Row],[Preço]]</f>
        <v>180</v>
      </c>
      <c r="L7" s="10">
        <f>Tabela1[[#This Row],[Valor Bruto]]-Tabela1[[#This Row],[ Desconto]]</f>
        <v>180</v>
      </c>
      <c r="M7" s="10" t="str">
        <f>IF(Tabela1[[#This Row],[Valor Final]]&gt;=5000,"Mega Venda",IF(Tabela1[[#This Row],[Valor Final]]&gt;=2000,"Grande",IF(Tabela1[[#This Row],[Valor Final]]&gt;=500,"Média","Pequena")))</f>
        <v>Pequena</v>
      </c>
      <c r="N7" s="11" t="str">
        <f>IF(AND(OR(Tabela1[[#This Row],[Nome produto]]="Notebook",Tabela1[[#This Row],[Nome produto]]="Monitor"),Tabela1[[#This Row],[Valor Final]]&gt;3000),"SIM","NÃO")</f>
        <v>NÃO</v>
      </c>
      <c r="Q7" s="4"/>
    </row>
    <row r="8" spans="1:17" x14ac:dyDescent="0.35">
      <c r="A8" s="8">
        <v>7</v>
      </c>
      <c r="B8" s="8" t="s">
        <v>20</v>
      </c>
      <c r="C8" s="8" t="s">
        <v>21</v>
      </c>
      <c r="D8" s="8" t="s">
        <v>10</v>
      </c>
      <c r="E8" s="8">
        <v>4</v>
      </c>
      <c r="F8" s="9">
        <v>0.05</v>
      </c>
      <c r="G8" s="8" t="str">
        <f>VLOOKUP(Tabela2[[#This Row],[ID_Produto]],Produtos!A:B,2,0)</f>
        <v>Cadeira</v>
      </c>
      <c r="H8" s="10">
        <f>VLOOKUP(Tabela2[[#This Row],[ID_Produto]],Produtos!A:C,3,0)</f>
        <v>800</v>
      </c>
      <c r="I8" s="8" t="s">
        <v>65</v>
      </c>
      <c r="J8" s="8" t="s">
        <v>65</v>
      </c>
      <c r="K8" s="10">
        <f>Tabela1[[#This Row],[ Quantidade ]]*Tabela1[[#This Row],[Preço]]</f>
        <v>3200</v>
      </c>
      <c r="L8" s="10">
        <f>Tabela1[[#This Row],[Valor Bruto]]-Tabela1[[#This Row],[ Desconto]]</f>
        <v>3199.95</v>
      </c>
      <c r="M8" s="10" t="str">
        <f>IF(Tabela1[[#This Row],[Valor Final]]&gt;=5000,"Mega Venda",IF(Tabela1[[#This Row],[Valor Final]]&gt;=2000,"Grande",IF(Tabela1[[#This Row],[Valor Final]]&gt;=500,"Média","Pequena")))</f>
        <v>Grande</v>
      </c>
      <c r="N8" s="11" t="str">
        <f>IF(AND(OR(Tabela1[[#This Row],[Nome produto]]="Notebook",Tabela1[[#This Row],[Nome produto]]="Monitor"),Tabela1[[#This Row],[Valor Final]]&gt;3000),"SIM","NÃO")</f>
        <v>NÃO</v>
      </c>
      <c r="Q8" s="4"/>
    </row>
    <row r="9" spans="1:17" x14ac:dyDescent="0.35">
      <c r="A9" s="8">
        <v>8</v>
      </c>
      <c r="B9" s="8" t="s">
        <v>20</v>
      </c>
      <c r="C9" s="8" t="s">
        <v>22</v>
      </c>
      <c r="D9" s="8" t="s">
        <v>13</v>
      </c>
      <c r="E9" s="8">
        <v>3</v>
      </c>
      <c r="F9" s="9">
        <v>0</v>
      </c>
      <c r="G9" s="8" t="str">
        <f>VLOOKUP(Tabela2[[#This Row],[ID_Produto]],Produtos!A:B,2,0)</f>
        <v>Mesa</v>
      </c>
      <c r="H9" s="10">
        <f>VLOOKUP(Tabela2[[#This Row],[ID_Produto]],Produtos!A:C,3,0)</f>
        <v>600</v>
      </c>
      <c r="I9" s="8" t="s">
        <v>65</v>
      </c>
      <c r="J9" s="8" t="s">
        <v>65</v>
      </c>
      <c r="K9" s="10">
        <f>Tabela1[[#This Row],[ Quantidade ]]*Tabela1[[#This Row],[Preço]]</f>
        <v>1800</v>
      </c>
      <c r="L9" s="10">
        <f>Tabela1[[#This Row],[Valor Bruto]]-Tabela1[[#This Row],[ Desconto]]</f>
        <v>1800</v>
      </c>
      <c r="M9" s="10" t="str">
        <f>IF(Tabela1[[#This Row],[Valor Final]]&gt;=5000,"Mega Venda",IF(Tabela1[[#This Row],[Valor Final]]&gt;=2000,"Grande",IF(Tabela1[[#This Row],[Valor Final]]&gt;=500,"Média","Pequena")))</f>
        <v>Média</v>
      </c>
      <c r="N9" s="11" t="str">
        <f>IF(AND(OR(Tabela1[[#This Row],[Nome produto]]="Notebook",Tabela1[[#This Row],[Nome produto]]="Monitor"),Tabela1[[#This Row],[Valor Final]]&gt;3000),"SIM","NÃO")</f>
        <v>NÃO</v>
      </c>
      <c r="Q9" s="4"/>
    </row>
    <row r="10" spans="1:17" x14ac:dyDescent="0.35">
      <c r="A10" s="8">
        <v>9</v>
      </c>
      <c r="B10" s="8" t="s">
        <v>23</v>
      </c>
      <c r="C10" s="8" t="s">
        <v>24</v>
      </c>
      <c r="D10" s="8" t="s">
        <v>15</v>
      </c>
      <c r="E10" s="8">
        <v>7</v>
      </c>
      <c r="F10" s="9">
        <v>0.1</v>
      </c>
      <c r="G10" s="8" t="str">
        <f>VLOOKUP(Tabela2[[#This Row],[ID_Produto]],Produtos!A:B,2,0)</f>
        <v>HD Externo</v>
      </c>
      <c r="H10" s="10">
        <f>VLOOKUP(Tabela2[[#This Row],[ID_Produto]],Produtos!A:C,3,0)</f>
        <v>450</v>
      </c>
      <c r="I10" s="8" t="s">
        <v>65</v>
      </c>
      <c r="J10" s="8" t="s">
        <v>65</v>
      </c>
      <c r="K10" s="10">
        <f>Tabela1[[#This Row],[ Quantidade ]]*Tabela1[[#This Row],[Preço]]</f>
        <v>3150</v>
      </c>
      <c r="L10" s="10">
        <f>Tabela1[[#This Row],[Valor Bruto]]-Tabela1[[#This Row],[ Desconto]]</f>
        <v>3149.9</v>
      </c>
      <c r="M10" s="10" t="str">
        <f>IF(Tabela1[[#This Row],[Valor Final]]&gt;=5000,"Mega Venda",IF(Tabela1[[#This Row],[Valor Final]]&gt;=2000,"Grande",IF(Tabela1[[#This Row],[Valor Final]]&gt;=500,"Média","Pequena")))</f>
        <v>Grande</v>
      </c>
      <c r="N10" s="11" t="str">
        <f>IF(AND(OR(Tabela1[[#This Row],[Nome produto]]="Notebook",Tabela1[[#This Row],[Nome produto]]="Monitor"),Tabela1[[#This Row],[Valor Final]]&gt;3000),"SIM","NÃO")</f>
        <v>NÃO</v>
      </c>
      <c r="Q10" s="4"/>
    </row>
    <row r="11" spans="1:17" x14ac:dyDescent="0.35">
      <c r="A11" s="8">
        <v>10</v>
      </c>
      <c r="B11" s="8" t="s">
        <v>23</v>
      </c>
      <c r="C11" s="8" t="s">
        <v>25</v>
      </c>
      <c r="D11" s="8" t="s">
        <v>18</v>
      </c>
      <c r="E11" s="8">
        <v>12</v>
      </c>
      <c r="F11" s="9">
        <v>0</v>
      </c>
      <c r="G11" s="8" t="str">
        <f>VLOOKUP(Tabela2[[#This Row],[ID_Produto]],Produtos!A:B,2,0)</f>
        <v>Pen Drive</v>
      </c>
      <c r="H11" s="10">
        <f>VLOOKUP(Tabela2[[#This Row],[ID_Produto]],Produtos!A:C,3,0)</f>
        <v>40</v>
      </c>
      <c r="I11" s="8" t="s">
        <v>65</v>
      </c>
      <c r="J11" s="8" t="s">
        <v>65</v>
      </c>
      <c r="K11" s="10">
        <f>Tabela1[[#This Row],[ Quantidade ]]*Tabela1[[#This Row],[Preço]]</f>
        <v>480</v>
      </c>
      <c r="L11" s="10">
        <f>Tabela1[[#This Row],[Valor Bruto]]-Tabela1[[#This Row],[ Desconto]]</f>
        <v>480</v>
      </c>
      <c r="M11" s="10" t="str">
        <f>IF(Tabela1[[#This Row],[Valor Final]]&gt;=5000,"Mega Venda",IF(Tabela1[[#This Row],[Valor Final]]&gt;=2000,"Grande",IF(Tabela1[[#This Row],[Valor Final]]&gt;=500,"Média","Pequena")))</f>
        <v>Pequena</v>
      </c>
      <c r="N11" s="11" t="str">
        <f>IF(AND(OR(Tabela1[[#This Row],[Nome produto]]="Notebook",Tabela1[[#This Row],[Nome produto]]="Monitor"),Tabela1[[#This Row],[Valor Final]]&gt;3000),"SIM","NÃO")</f>
        <v>NÃO</v>
      </c>
      <c r="Q11" s="4"/>
    </row>
    <row r="12" spans="1:17" x14ac:dyDescent="0.35">
      <c r="A12" s="1">
        <v>11</v>
      </c>
      <c r="B12" s="1"/>
      <c r="C12" s="1"/>
      <c r="D12" s="1"/>
      <c r="E12" s="1"/>
      <c r="F12" s="2"/>
      <c r="G12" s="1"/>
      <c r="H12" s="1"/>
      <c r="I12" s="1"/>
      <c r="J12" s="1"/>
      <c r="Q12" s="4"/>
    </row>
    <row r="13" spans="1:17" x14ac:dyDescent="0.35">
      <c r="A13" s="1">
        <v>12</v>
      </c>
      <c r="B13" s="1"/>
      <c r="C13" s="1"/>
      <c r="D13" s="1"/>
      <c r="E13" s="1"/>
      <c r="F13" s="1"/>
      <c r="H13" s="1"/>
      <c r="I13" s="1"/>
      <c r="J13" s="1"/>
    </row>
    <row r="14" spans="1:17" x14ac:dyDescent="0.35">
      <c r="A14" s="1">
        <v>13</v>
      </c>
      <c r="B14" s="1"/>
      <c r="C14" s="1"/>
      <c r="D14" s="1"/>
      <c r="E14" s="1"/>
      <c r="F14" s="2"/>
      <c r="G14" s="1"/>
      <c r="H14" s="1"/>
      <c r="I14" s="1"/>
      <c r="J14" s="1"/>
    </row>
    <row r="15" spans="1:17" x14ac:dyDescent="0.35">
      <c r="A15" s="1">
        <v>14</v>
      </c>
      <c r="B15" s="1"/>
      <c r="C15" s="1"/>
      <c r="D15" s="1"/>
      <c r="E15" s="1"/>
      <c r="F15" s="2"/>
      <c r="G15" s="1"/>
      <c r="H15" s="1"/>
      <c r="I15" s="1"/>
      <c r="J15" s="1"/>
    </row>
    <row r="16" spans="1:17" x14ac:dyDescent="0.35">
      <c r="A16" s="1">
        <v>15</v>
      </c>
      <c r="B16" s="1"/>
      <c r="C16" s="1"/>
      <c r="D16" s="1"/>
      <c r="E16" s="1"/>
      <c r="F16" s="2"/>
      <c r="G16" s="1"/>
      <c r="H16" s="1"/>
      <c r="I16" s="1"/>
      <c r="J16" s="1"/>
    </row>
    <row r="17" spans="1:17" x14ac:dyDescent="0.35">
      <c r="A17" s="1">
        <v>16</v>
      </c>
      <c r="B17" s="1"/>
      <c r="C17" s="1"/>
      <c r="D17" s="1"/>
      <c r="E17" s="1"/>
      <c r="F17" s="2"/>
      <c r="G17" s="1"/>
      <c r="H17" s="1"/>
      <c r="I17" s="1"/>
      <c r="J17" s="1"/>
    </row>
    <row r="18" spans="1:17" x14ac:dyDescent="0.35">
      <c r="A18" s="1">
        <v>17</v>
      </c>
      <c r="B18" s="1"/>
      <c r="C18" s="1"/>
      <c r="D18" s="1"/>
      <c r="E18" s="1"/>
      <c r="F18" s="2"/>
      <c r="G18" s="1"/>
      <c r="H18" s="1"/>
      <c r="I18" s="1"/>
      <c r="J18" s="1"/>
    </row>
    <row r="19" spans="1:17" x14ac:dyDescent="0.35">
      <c r="A19" s="1">
        <v>18</v>
      </c>
      <c r="B19" s="1"/>
      <c r="C19" s="1"/>
      <c r="D19" s="1"/>
      <c r="E19" s="1"/>
      <c r="F19" s="2"/>
      <c r="G19" s="1"/>
      <c r="H19" s="1"/>
      <c r="I19" s="1"/>
      <c r="J19" s="1"/>
    </row>
    <row r="20" spans="1:17" x14ac:dyDescent="0.35">
      <c r="A20" s="1">
        <v>19</v>
      </c>
      <c r="B20" s="1"/>
      <c r="C20" s="1"/>
      <c r="D20" s="1"/>
      <c r="E20" s="1"/>
      <c r="F20" s="2"/>
      <c r="G20" s="1"/>
      <c r="H20" s="1"/>
      <c r="I20" s="1"/>
      <c r="J20" s="1"/>
    </row>
    <row r="21" spans="1:17" x14ac:dyDescent="0.35">
      <c r="A21" s="1">
        <v>20</v>
      </c>
      <c r="B21" s="1"/>
      <c r="C21" s="1"/>
      <c r="D21" s="1"/>
      <c r="E21" s="1"/>
      <c r="F21" s="2"/>
      <c r="G21" s="1"/>
      <c r="H21" s="1"/>
      <c r="I21" s="1"/>
      <c r="J21" s="1"/>
    </row>
    <row r="22" spans="1:17" x14ac:dyDescent="0.35">
      <c r="A22" s="1">
        <v>21</v>
      </c>
      <c r="B22" s="1"/>
      <c r="C22" s="1"/>
      <c r="D22" s="1"/>
      <c r="E22" s="1"/>
      <c r="F22" s="2"/>
      <c r="G22" s="1"/>
      <c r="H22" s="1"/>
      <c r="I22" s="1"/>
      <c r="J22" s="1"/>
    </row>
    <row r="23" spans="1:17" x14ac:dyDescent="0.35">
      <c r="A23" s="1">
        <v>22</v>
      </c>
      <c r="B23" s="1"/>
      <c r="C23" s="1"/>
      <c r="D23" s="1"/>
      <c r="E23" s="1"/>
      <c r="F23" s="2"/>
      <c r="G23" s="1"/>
      <c r="H23" s="1"/>
      <c r="I23" s="1"/>
      <c r="J23" s="1"/>
    </row>
    <row r="24" spans="1:17" x14ac:dyDescent="0.35">
      <c r="A24" s="1">
        <v>23</v>
      </c>
      <c r="B24" s="1"/>
      <c r="C24" s="1"/>
      <c r="D24" s="1"/>
      <c r="E24" s="1"/>
      <c r="F24" s="2"/>
      <c r="G24" s="1"/>
      <c r="H24" s="1"/>
      <c r="I24" s="1"/>
      <c r="J24" s="1"/>
    </row>
    <row r="25" spans="1:17" x14ac:dyDescent="0.35">
      <c r="A25" s="1">
        <v>24</v>
      </c>
      <c r="B25" s="1"/>
      <c r="C25" s="1"/>
      <c r="D25" s="1"/>
      <c r="E25" s="1"/>
      <c r="F25" s="2"/>
      <c r="G25" s="1"/>
      <c r="H25" s="1"/>
      <c r="I25" s="1"/>
      <c r="J25" s="1"/>
    </row>
    <row r="26" spans="1:17" x14ac:dyDescent="0.35">
      <c r="A26" s="1">
        <v>25</v>
      </c>
      <c r="B26" s="1"/>
      <c r="C26" s="1"/>
      <c r="D26" s="1"/>
      <c r="E26" s="1"/>
      <c r="F26" s="2"/>
      <c r="G26" s="1"/>
      <c r="H26" s="1"/>
      <c r="I26" s="1"/>
      <c r="J26" s="1"/>
    </row>
    <row r="27" spans="1:17" x14ac:dyDescent="0.35">
      <c r="A27" s="1">
        <v>26</v>
      </c>
      <c r="B27" s="1"/>
      <c r="C27" s="1"/>
      <c r="D27" s="1"/>
      <c r="E27" s="1"/>
      <c r="F27" s="2"/>
      <c r="G27" s="1"/>
      <c r="H27" s="1"/>
      <c r="I27" s="1"/>
      <c r="J27" s="1"/>
    </row>
    <row r="28" spans="1:17" x14ac:dyDescent="0.35">
      <c r="A28" s="1">
        <v>27</v>
      </c>
      <c r="B28" s="1"/>
      <c r="C28" s="1"/>
      <c r="D28" s="1"/>
      <c r="E28" s="1"/>
      <c r="F28" s="2"/>
      <c r="G28" s="1"/>
      <c r="H28" s="1"/>
      <c r="I28" s="1"/>
      <c r="J28" s="1"/>
    </row>
    <row r="29" spans="1:17" x14ac:dyDescent="0.35">
      <c r="A29" s="1">
        <v>28</v>
      </c>
      <c r="B29" s="1"/>
      <c r="C29" s="1"/>
      <c r="D29" s="1"/>
      <c r="E29" s="1"/>
      <c r="F29" s="2"/>
      <c r="G29" s="1"/>
      <c r="H29" s="1"/>
      <c r="I29" s="1"/>
      <c r="J29" s="1"/>
    </row>
    <row r="30" spans="1:17" ht="23.5" x14ac:dyDescent="0.35">
      <c r="A30" s="1">
        <v>29</v>
      </c>
      <c r="B30" s="1"/>
      <c r="C30" s="1"/>
      <c r="D30" s="1"/>
      <c r="E30" s="1"/>
      <c r="F30" s="2"/>
      <c r="G30" s="1"/>
      <c r="H30" s="1"/>
      <c r="I30" s="1"/>
      <c r="J30" s="1"/>
      <c r="Q30" s="5"/>
    </row>
    <row r="31" spans="1:17" x14ac:dyDescent="0.35">
      <c r="A31" s="1">
        <v>30</v>
      </c>
      <c r="B31" s="1"/>
      <c r="C31" s="1"/>
      <c r="D31" s="1"/>
      <c r="E31" s="1"/>
      <c r="F31" s="2"/>
      <c r="G31" s="1"/>
      <c r="H31" s="1"/>
      <c r="I31" s="1"/>
      <c r="J31" s="1"/>
    </row>
    <row r="32" spans="1:17" x14ac:dyDescent="0.35">
      <c r="A32" s="1">
        <v>31</v>
      </c>
      <c r="B32" s="1"/>
      <c r="C32" s="1"/>
      <c r="D32" s="1"/>
      <c r="E32" s="1"/>
      <c r="F32" s="2"/>
      <c r="G32" s="1"/>
      <c r="H32" s="1"/>
      <c r="I32" s="1"/>
      <c r="J32" s="1"/>
    </row>
    <row r="33" spans="1:10" x14ac:dyDescent="0.35">
      <c r="A33" s="1">
        <v>32</v>
      </c>
      <c r="B33" s="1"/>
      <c r="C33" s="1"/>
      <c r="D33" s="1"/>
      <c r="E33" s="1"/>
      <c r="F33" s="2"/>
      <c r="G33" s="1"/>
      <c r="H33" s="1"/>
      <c r="I33" s="1"/>
      <c r="J33" s="1"/>
    </row>
    <row r="34" spans="1:10" x14ac:dyDescent="0.35">
      <c r="A34" s="1">
        <v>33</v>
      </c>
      <c r="B34" s="1"/>
      <c r="C34" s="1"/>
      <c r="D34" s="1"/>
      <c r="E34" s="1"/>
      <c r="F34" s="2"/>
      <c r="G34" s="1"/>
      <c r="H34" s="1"/>
      <c r="I34" s="1"/>
      <c r="J34" s="1"/>
    </row>
    <row r="35" spans="1:10" x14ac:dyDescent="0.35">
      <c r="A35" s="1">
        <v>34</v>
      </c>
      <c r="B35" s="1"/>
      <c r="C35" s="1"/>
      <c r="D35" s="1"/>
      <c r="E35" s="1"/>
      <c r="F35" s="2"/>
      <c r="G35" s="1"/>
      <c r="H35" s="1"/>
      <c r="I35" s="1"/>
      <c r="J35" s="1"/>
    </row>
    <row r="36" spans="1:10" x14ac:dyDescent="0.35">
      <c r="A36" s="1">
        <v>35</v>
      </c>
      <c r="B36" s="1"/>
      <c r="C36" s="1"/>
      <c r="D36" s="1"/>
      <c r="E36" s="1"/>
      <c r="F36" s="2"/>
      <c r="G36" s="1"/>
      <c r="H36" s="1"/>
      <c r="I36" s="1"/>
      <c r="J36" s="1"/>
    </row>
    <row r="37" spans="1:10" x14ac:dyDescent="0.35">
      <c r="A37" s="1">
        <v>36</v>
      </c>
      <c r="B37" s="1"/>
      <c r="C37" s="1"/>
      <c r="D37" s="1"/>
      <c r="E37" s="1"/>
      <c r="F37" s="2"/>
      <c r="G37" s="1"/>
      <c r="H37" s="1"/>
      <c r="I37" s="1"/>
      <c r="J37" s="1"/>
    </row>
    <row r="38" spans="1:10" x14ac:dyDescent="0.35">
      <c r="A38" s="1">
        <v>37</v>
      </c>
      <c r="B38" s="1"/>
      <c r="C38" s="1"/>
      <c r="D38" s="1"/>
      <c r="E38" s="1"/>
      <c r="F38" s="2"/>
      <c r="G38" s="1"/>
      <c r="H38" s="1"/>
      <c r="I38" s="1"/>
      <c r="J38" s="1"/>
    </row>
    <row r="39" spans="1:10" x14ac:dyDescent="0.35">
      <c r="A39" s="1">
        <v>38</v>
      </c>
      <c r="B39" s="1"/>
      <c r="C39" s="1"/>
      <c r="D39" s="1"/>
      <c r="E39" s="1"/>
      <c r="F39" s="2"/>
      <c r="G39" s="1"/>
      <c r="H39" s="1"/>
      <c r="I39" s="1"/>
      <c r="J39" s="1"/>
    </row>
    <row r="40" spans="1:10" x14ac:dyDescent="0.35">
      <c r="A40" s="1">
        <v>39</v>
      </c>
      <c r="B40" s="1"/>
      <c r="C40" s="1"/>
      <c r="D40" s="1"/>
      <c r="E40" s="1"/>
      <c r="F40" s="2"/>
      <c r="G40" s="1"/>
      <c r="H40" s="1"/>
      <c r="I40" s="1"/>
      <c r="J40" s="1"/>
    </row>
    <row r="41" spans="1:10" x14ac:dyDescent="0.35">
      <c r="A41" s="1">
        <v>40</v>
      </c>
      <c r="B41" s="1"/>
      <c r="C41" s="1"/>
      <c r="D41" s="1"/>
      <c r="E41" s="1"/>
      <c r="F41" s="2"/>
      <c r="G41" s="1"/>
      <c r="H41" s="1"/>
      <c r="I41" s="1"/>
      <c r="J41" s="1"/>
    </row>
    <row r="42" spans="1:10" x14ac:dyDescent="0.35">
      <c r="A42" s="1">
        <v>41</v>
      </c>
      <c r="B42" s="1"/>
      <c r="C42" s="1"/>
      <c r="D42" s="1"/>
      <c r="E42" s="1"/>
      <c r="F42" s="2"/>
      <c r="G42" s="1"/>
      <c r="H42" s="1"/>
      <c r="I42" s="1"/>
      <c r="J42" s="1"/>
    </row>
    <row r="43" spans="1:10" x14ac:dyDescent="0.35">
      <c r="A43" s="1">
        <v>42</v>
      </c>
      <c r="B43" s="1"/>
      <c r="C43" s="1"/>
      <c r="D43" s="1"/>
      <c r="E43" s="1"/>
      <c r="F43" s="2"/>
      <c r="G43" s="1"/>
      <c r="H43" s="1"/>
      <c r="I43" s="1"/>
      <c r="J43" s="1"/>
    </row>
    <row r="44" spans="1:10" x14ac:dyDescent="0.35">
      <c r="A44" s="1">
        <v>43</v>
      </c>
      <c r="B44" s="1"/>
      <c r="C44" s="1"/>
      <c r="D44" s="1"/>
      <c r="E44" s="1"/>
      <c r="F44" s="2"/>
      <c r="G44" s="1"/>
      <c r="H44" s="1"/>
      <c r="I44" s="1"/>
      <c r="J44" s="1"/>
    </row>
    <row r="45" spans="1:10" x14ac:dyDescent="0.35">
      <c r="A45" s="1">
        <v>44</v>
      </c>
      <c r="B45" s="1"/>
      <c r="C45" s="1"/>
      <c r="D45" s="1"/>
      <c r="E45" s="1"/>
      <c r="F45" s="2"/>
      <c r="G45" s="1"/>
      <c r="H45" s="1"/>
      <c r="I45" s="1"/>
      <c r="J45" s="1"/>
    </row>
    <row r="46" spans="1:10" x14ac:dyDescent="0.35">
      <c r="A46" s="1">
        <v>45</v>
      </c>
      <c r="B46" s="1"/>
      <c r="C46" s="1"/>
      <c r="D46" s="1"/>
      <c r="E46" s="1"/>
      <c r="F46" s="2"/>
      <c r="G46" s="1"/>
      <c r="H46" s="1"/>
      <c r="I46" s="1"/>
      <c r="J46" s="1"/>
    </row>
    <row r="47" spans="1:10" x14ac:dyDescent="0.35">
      <c r="A47" s="1">
        <v>46</v>
      </c>
      <c r="B47" s="1"/>
      <c r="C47" s="1"/>
      <c r="D47" s="1"/>
      <c r="E47" s="1"/>
      <c r="F47" s="2"/>
      <c r="G47" s="1"/>
      <c r="H47" s="1"/>
      <c r="I47" s="1"/>
      <c r="J47" s="1"/>
    </row>
    <row r="48" spans="1:10" x14ac:dyDescent="0.35">
      <c r="A48" s="1">
        <v>47</v>
      </c>
      <c r="B48" s="1"/>
      <c r="C48" s="1"/>
      <c r="D48" s="1"/>
      <c r="E48" s="1"/>
      <c r="F48" s="2"/>
      <c r="G48" s="1"/>
      <c r="H48" s="1"/>
      <c r="I48" s="1"/>
      <c r="J48" s="1"/>
    </row>
    <row r="49" spans="1:10" x14ac:dyDescent="0.35">
      <c r="A49" s="1">
        <v>48</v>
      </c>
      <c r="B49" s="1"/>
      <c r="C49" s="1"/>
      <c r="D49" s="1"/>
      <c r="E49" s="1"/>
      <c r="F49" s="2"/>
      <c r="G49" s="1"/>
      <c r="H49" s="1"/>
      <c r="I49" s="1"/>
      <c r="J49" s="1"/>
    </row>
    <row r="50" spans="1:10" x14ac:dyDescent="0.35">
      <c r="A50" s="1">
        <v>49</v>
      </c>
      <c r="B50" s="1"/>
      <c r="C50" s="1"/>
      <c r="D50" s="1"/>
      <c r="E50" s="1"/>
      <c r="F50" s="2"/>
      <c r="G50" s="1"/>
      <c r="H50" s="1"/>
      <c r="I50" s="1"/>
      <c r="J50" s="1"/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I7:I11 J7:J11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854C-4A45-40CC-9FF7-910DC1539A35}">
  <dimension ref="A1:C11"/>
  <sheetViews>
    <sheetView showGridLines="0" workbookViewId="0">
      <selection activeCell="D10" sqref="D10"/>
    </sheetView>
  </sheetViews>
  <sheetFormatPr defaultRowHeight="14.5" x14ac:dyDescent="0.35"/>
  <cols>
    <col min="1" max="1" width="12.26953125" bestFit="1" customWidth="1"/>
    <col min="2" max="2" width="9.81640625" bestFit="1" customWidth="1"/>
    <col min="3" max="3" width="10.36328125" bestFit="1" customWidth="1"/>
    <col min="4" max="4" width="8.7265625" customWidth="1"/>
  </cols>
  <sheetData>
    <row r="1" spans="1:3" ht="18" customHeight="1" x14ac:dyDescent="0.35">
      <c r="A1" s="17" t="s">
        <v>26</v>
      </c>
      <c r="B1" s="18" t="s">
        <v>27</v>
      </c>
      <c r="C1" s="19" t="s">
        <v>28</v>
      </c>
    </row>
    <row r="2" spans="1:3" x14ac:dyDescent="0.35">
      <c r="A2" s="12" t="s">
        <v>29</v>
      </c>
      <c r="B2" s="8" t="s">
        <v>30</v>
      </c>
      <c r="C2" s="13">
        <v>120</v>
      </c>
    </row>
    <row r="3" spans="1:3" x14ac:dyDescent="0.35">
      <c r="A3" s="12" t="s">
        <v>31</v>
      </c>
      <c r="B3" s="8" t="s">
        <v>32</v>
      </c>
      <c r="C3" s="13">
        <v>60</v>
      </c>
    </row>
    <row r="4" spans="1:3" x14ac:dyDescent="0.35">
      <c r="A4" s="12" t="s">
        <v>33</v>
      </c>
      <c r="B4" s="8" t="s">
        <v>34</v>
      </c>
      <c r="C4" s="13">
        <v>900</v>
      </c>
    </row>
    <row r="5" spans="1:3" x14ac:dyDescent="0.35">
      <c r="A5" s="12" t="s">
        <v>35</v>
      </c>
      <c r="B5" s="8" t="s">
        <v>36</v>
      </c>
      <c r="C5" s="13">
        <v>3500</v>
      </c>
    </row>
    <row r="6" spans="1:3" x14ac:dyDescent="0.35">
      <c r="A6" s="12" t="s">
        <v>37</v>
      </c>
      <c r="B6" s="8" t="s">
        <v>38</v>
      </c>
      <c r="C6" s="13">
        <v>250</v>
      </c>
    </row>
    <row r="7" spans="1:3" x14ac:dyDescent="0.35">
      <c r="A7" s="12" t="s">
        <v>39</v>
      </c>
      <c r="B7" s="8" t="s">
        <v>40</v>
      </c>
      <c r="C7" s="13">
        <v>180</v>
      </c>
    </row>
    <row r="8" spans="1:3" x14ac:dyDescent="0.35">
      <c r="A8" s="12" t="s">
        <v>41</v>
      </c>
      <c r="B8" s="8" t="s">
        <v>42</v>
      </c>
      <c r="C8" s="13">
        <v>800</v>
      </c>
    </row>
    <row r="9" spans="1:3" x14ac:dyDescent="0.35">
      <c r="A9" s="12" t="s">
        <v>43</v>
      </c>
      <c r="B9" s="8" t="s">
        <v>44</v>
      </c>
      <c r="C9" s="13">
        <v>600</v>
      </c>
    </row>
    <row r="10" spans="1:3" x14ac:dyDescent="0.35">
      <c r="A10" s="12" t="s">
        <v>45</v>
      </c>
      <c r="B10" s="8" t="s">
        <v>46</v>
      </c>
      <c r="C10" s="13">
        <v>450</v>
      </c>
    </row>
    <row r="11" spans="1:3" x14ac:dyDescent="0.35">
      <c r="A11" s="14" t="s">
        <v>47</v>
      </c>
      <c r="B11" s="15" t="s">
        <v>48</v>
      </c>
      <c r="C11" s="16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E96F-E281-456A-958E-BBD2AB1C0069}">
  <dimension ref="A1:D6"/>
  <sheetViews>
    <sheetView showGridLines="0" workbookViewId="0">
      <selection activeCell="E4" sqref="E4"/>
    </sheetView>
  </sheetViews>
  <sheetFormatPr defaultRowHeight="14.5" x14ac:dyDescent="0.35"/>
  <cols>
    <col min="1" max="1" width="13.7265625" bestFit="1" customWidth="1"/>
    <col min="2" max="2" width="11.08984375" bestFit="1" customWidth="1"/>
    <col min="3" max="3" width="10.36328125" bestFit="1" customWidth="1"/>
    <col min="4" max="4" width="13.08984375" bestFit="1" customWidth="1"/>
  </cols>
  <sheetData>
    <row r="1" spans="1:4" ht="18" customHeight="1" x14ac:dyDescent="0.35">
      <c r="A1" s="6" t="s">
        <v>59</v>
      </c>
      <c r="B1" s="6" t="s">
        <v>60</v>
      </c>
      <c r="C1" s="6" t="s">
        <v>61</v>
      </c>
      <c r="D1" s="6" t="s">
        <v>62</v>
      </c>
    </row>
    <row r="2" spans="1:4" x14ac:dyDescent="0.35">
      <c r="A2" s="1" t="s">
        <v>49</v>
      </c>
      <c r="B2" s="1" t="s">
        <v>50</v>
      </c>
      <c r="C2" s="3">
        <v>5000</v>
      </c>
      <c r="D2" s="1" t="str">
        <f>IF([1]!Tabela1[[#This Row],[Valor da venda]]&gt;=Tabela3[[#This Row],[Meta]],"Meta Atingida","Abaixo da Meta")</f>
        <v>Abaixo da Meta</v>
      </c>
    </row>
    <row r="3" spans="1:4" x14ac:dyDescent="0.35">
      <c r="A3" s="1" t="s">
        <v>51</v>
      </c>
      <c r="B3" s="1" t="s">
        <v>52</v>
      </c>
      <c r="C3" s="3">
        <v>6000</v>
      </c>
      <c r="D3" s="1" t="str">
        <f>IF([1]!Tabela1[[#This Row],[Valor da venda]]&gt;=Tabela3[[#This Row],[Meta]],"Meta Atingida","Abaixo da Meta")</f>
        <v>Abaixo da Meta</v>
      </c>
    </row>
    <row r="4" spans="1:4" x14ac:dyDescent="0.35">
      <c r="A4" s="1" t="s">
        <v>53</v>
      </c>
      <c r="B4" s="1" t="s">
        <v>54</v>
      </c>
      <c r="C4" s="3">
        <v>4500</v>
      </c>
      <c r="D4" s="1" t="str">
        <f>IF([1]!Tabela1[[#This Row],[Valor da venda]]&gt;=Tabela3[[#This Row],[Meta]],"Meta Atingida","Abaixo da Meta")</f>
        <v>Meta Atingida</v>
      </c>
    </row>
    <row r="5" spans="1:4" x14ac:dyDescent="0.35">
      <c r="A5" s="1" t="s">
        <v>55</v>
      </c>
      <c r="B5" s="1" t="s">
        <v>56</v>
      </c>
      <c r="C5" s="3">
        <v>7000</v>
      </c>
      <c r="D5" s="1" t="str">
        <f>IF([1]!Tabela1[[#This Row],[Valor da venda]]&gt;=Tabela3[[#This Row],[Meta]],"Meta Atingida","Abaixo da Meta")</f>
        <v>Meta Atingida</v>
      </c>
    </row>
    <row r="6" spans="1:4" x14ac:dyDescent="0.35">
      <c r="A6" s="1" t="s">
        <v>57</v>
      </c>
      <c r="B6" s="1" t="s">
        <v>58</v>
      </c>
      <c r="C6" s="3">
        <v>5500</v>
      </c>
      <c r="D6" s="1" t="str">
        <f>IF([1]!Tabela1[[#This Row],[Valor da venda]]&gt;=Tabela3[[#This Row],[Meta]],"Meta Atingida","Abaixo da Meta")</f>
        <v>Abaixo da Meta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Pedidos</vt:lpstr>
      <vt:lpstr>Produtos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Serravallo</dc:creator>
  <cp:lastModifiedBy>Lorena Serravallo</cp:lastModifiedBy>
  <dcterms:created xsi:type="dcterms:W3CDTF">2026-02-13T17:55:51Z</dcterms:created>
  <dcterms:modified xsi:type="dcterms:W3CDTF">2026-02-13T19:03:51Z</dcterms:modified>
</cp:coreProperties>
</file>